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ker\Downloads\"/>
    </mc:Choice>
  </mc:AlternateContent>
  <xr:revisionPtr revIDLastSave="0" documentId="13_ncr:1_{2ECB87C3-6CDE-4F6B-9F02-F0105FE5503C}" xr6:coauthVersionLast="47" xr6:coauthVersionMax="47" xr10:uidLastSave="{00000000-0000-0000-0000-000000000000}"/>
  <bookViews>
    <workbookView xWindow="41985" yWindow="2895" windowWidth="20595" windowHeight="11475" xr2:uid="{BF252CB6-C8D5-4C61-936C-C860E233BABE}"/>
  </bookViews>
  <sheets>
    <sheet name="elmrpe" sheetId="1" r:id="rId1"/>
    <sheet name="onl" sheetId="2" r:id="rId2"/>
    <sheet name="irl" sheetId="3" r:id="rId3"/>
    <sheet name="hr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<sst xmlns="http://schemas.openxmlformats.org/spreadsheetml/2006/main" count="572" uniqueCount="33">
  <si>
    <t>488LL</t>
  </si>
  <si>
    <t>489DP</t>
  </si>
  <si>
    <t>488UL</t>
  </si>
  <si>
    <t>488LR</t>
  </si>
  <si>
    <t>489UR</t>
  </si>
  <si>
    <t>489UL</t>
  </si>
  <si>
    <t>489LL</t>
  </si>
  <si>
    <t>507UR</t>
  </si>
  <si>
    <t>507LR</t>
  </si>
  <si>
    <t>507LL</t>
  </si>
  <si>
    <t>508UR</t>
  </si>
  <si>
    <t>508UL</t>
  </si>
  <si>
    <t>510UR</t>
  </si>
  <si>
    <t>510UL</t>
  </si>
  <si>
    <t>510LR</t>
  </si>
  <si>
    <t>511UR</t>
  </si>
  <si>
    <t>511UL</t>
  </si>
  <si>
    <t>Het</t>
  </si>
  <si>
    <t>KO</t>
  </si>
  <si>
    <t>Inferior</t>
  </si>
  <si>
    <t>Superior</t>
  </si>
  <si>
    <t>ELM-RPE</t>
  </si>
  <si>
    <t>ONL</t>
  </si>
  <si>
    <t>HRF</t>
  </si>
  <si>
    <t>IRL</t>
  </si>
  <si>
    <t>mouse</t>
  </si>
  <si>
    <t>biomarker</t>
  </si>
  <si>
    <t>side</t>
  </si>
  <si>
    <t>light</t>
  </si>
  <si>
    <t>dark</t>
  </si>
  <si>
    <t>delta</t>
  </si>
  <si>
    <t>average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</si>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</sst>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4329-4F6B-4DF9-A66A-912D87297863}">
  <dimension ref="A1:R35"/>
  <sheetViews>
    <sheetView tabSelected="1" zoomScale="110" zoomScaleNormal="110" workbookViewId="0">
      <selection activeCell="I9" sqref="I9"/>
    </sheetView>
  </sheetViews>
  <sheetFormatPr defaultRowHeight="15" x14ac:dyDescent="0.25"/>
  <cols>
    <col min="1" max="1" width="10.7109375" bestFit="1" customWidth="1"/>
    <col min="3" max="3" width="9.85546875" bestFit="1" customWidth="1"/>
  </cols>
  <sheetData>
    <row r="1" spans="1:18" x14ac:dyDescent="0.25">
      <c r="A1" t="s">
        <v>25</v>
      </c>
      <c r="B1" t="s">
        <v>32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18" x14ac:dyDescent="0.25">
      <c r="A2" s="1" t="s">
        <v>0</v>
      </c>
      <c r="B2" t="s">
        <v>17</v>
      </c>
      <c r="C2" t="s">
        <v>21</v>
      </c>
      <c r="D2" t="s">
        <v>19</v>
      </c>
      <c r="E2" s="3">
        <v>54.76</v>
      </c>
      <c r="F2" s="3">
        <v>51.75</v>
      </c>
      <c r="G2" s="2">
        <f t="shared" ref="G2:G35" si="0">E2-F2</f>
        <v>3.009999999999998</v>
      </c>
    </row>
    <row r="3" spans="1:18" x14ac:dyDescent="0.25">
      <c r="A3" s="1" t="s">
        <v>1</v>
      </c>
      <c r="B3" t="s">
        <v>17</v>
      </c>
      <c r="C3" t="s">
        <v>21</v>
      </c>
      <c r="D3" t="s">
        <v>19</v>
      </c>
      <c r="E3" s="3">
        <v>54.53</v>
      </c>
      <c r="F3" s="3">
        <v>51.71</v>
      </c>
      <c r="G3" s="2">
        <f t="shared" si="0"/>
        <v>2.8200000000000003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12</v>
      </c>
      <c r="B4" t="s">
        <v>17</v>
      </c>
      <c r="C4" t="s">
        <v>21</v>
      </c>
      <c r="D4" t="s">
        <v>19</v>
      </c>
      <c r="E4" s="3">
        <v>57.188140703517561</v>
      </c>
      <c r="F4" s="3">
        <v>54.026683417085415</v>
      </c>
      <c r="G4" s="2">
        <f t="shared" si="0"/>
        <v>3.161457286432146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 t="s">
        <v>13</v>
      </c>
      <c r="B5" t="s">
        <v>17</v>
      </c>
      <c r="C5" t="s">
        <v>21</v>
      </c>
      <c r="D5" t="s">
        <v>19</v>
      </c>
      <c r="E5" s="3">
        <v>56.449497487437242</v>
      </c>
      <c r="F5" s="3">
        <v>52.189045226130609</v>
      </c>
      <c r="G5" s="2">
        <f t="shared" si="0"/>
        <v>4.2604522613066322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14</v>
      </c>
      <c r="B6" t="s">
        <v>17</v>
      </c>
      <c r="C6" t="s">
        <v>21</v>
      </c>
      <c r="D6" t="s">
        <v>19</v>
      </c>
      <c r="E6" s="3">
        <v>58.585075376884397</v>
      </c>
      <c r="F6" s="3">
        <v>52.904020100502557</v>
      </c>
      <c r="G6" s="2">
        <f t="shared" si="0"/>
        <v>5.6810552763818407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 t="s">
        <v>15</v>
      </c>
      <c r="B7" t="s">
        <v>17</v>
      </c>
      <c r="C7" t="s">
        <v>21</v>
      </c>
      <c r="D7" t="s">
        <v>19</v>
      </c>
      <c r="E7" s="3">
        <v>56.496432160804076</v>
      </c>
      <c r="F7" s="3">
        <v>53.525025125628254</v>
      </c>
      <c r="G7" s="2">
        <f t="shared" si="0"/>
        <v>2.9714070351758224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2</v>
      </c>
      <c r="B8" t="s">
        <v>18</v>
      </c>
      <c r="C8" t="s">
        <v>21</v>
      </c>
      <c r="D8" t="s">
        <v>19</v>
      </c>
      <c r="E8" s="3">
        <v>47.91</v>
      </c>
      <c r="F8" s="3">
        <v>48.1</v>
      </c>
      <c r="G8" s="2">
        <f t="shared" si="0"/>
        <v>-0.19000000000000483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3</v>
      </c>
      <c r="B9" t="s">
        <v>18</v>
      </c>
      <c r="C9" t="s">
        <v>21</v>
      </c>
      <c r="D9" t="s">
        <v>19</v>
      </c>
      <c r="E9" s="3">
        <v>48.63</v>
      </c>
      <c r="F9" s="3">
        <v>49.47</v>
      </c>
      <c r="G9" s="2">
        <f t="shared" si="0"/>
        <v>-0.83999999999999631</v>
      </c>
      <c r="H9" s="1"/>
      <c r="I9" s="1"/>
      <c r="J9" s="1"/>
      <c r="K9" s="1"/>
      <c r="L9" s="1"/>
      <c r="M9" s="1"/>
      <c r="N9" s="1"/>
      <c r="O9" s="1"/>
      <c r="P9" s="1"/>
    </row>
    <row r="10" spans="1:18" x14ac:dyDescent="0.25">
      <c r="A10" s="1" t="s">
        <v>4</v>
      </c>
      <c r="B10" t="s">
        <v>18</v>
      </c>
      <c r="C10" t="s">
        <v>21</v>
      </c>
      <c r="D10" t="s">
        <v>19</v>
      </c>
      <c r="E10" s="3">
        <v>50.52</v>
      </c>
      <c r="F10" s="3">
        <v>50.58</v>
      </c>
      <c r="G10" s="2">
        <f t="shared" si="0"/>
        <v>-5.9999999999995168E-2</v>
      </c>
      <c r="H10" s="1"/>
      <c r="I10" s="1"/>
      <c r="J10" s="1"/>
      <c r="K10" s="1"/>
      <c r="L10" s="1"/>
      <c r="M10" s="1"/>
      <c r="N10" s="1"/>
      <c r="O10" s="1"/>
      <c r="P10" s="1"/>
    </row>
    <row r="11" spans="1:18" x14ac:dyDescent="0.25">
      <c r="A11" s="1" t="s">
        <v>5</v>
      </c>
      <c r="B11" t="s">
        <v>18</v>
      </c>
      <c r="C11" t="s">
        <v>21</v>
      </c>
      <c r="D11" t="s">
        <v>19</v>
      </c>
      <c r="E11" s="3">
        <v>49.28</v>
      </c>
      <c r="F11" s="3">
        <v>47.6</v>
      </c>
      <c r="G11" s="2">
        <f t="shared" si="0"/>
        <v>1.6799999999999997</v>
      </c>
      <c r="I11" s="1"/>
      <c r="J11" s="1"/>
      <c r="K11" s="1"/>
    </row>
    <row r="12" spans="1:18" x14ac:dyDescent="0.25">
      <c r="A12" s="1" t="s">
        <v>6</v>
      </c>
      <c r="B12" t="s">
        <v>18</v>
      </c>
      <c r="C12" t="s">
        <v>21</v>
      </c>
      <c r="D12" t="s">
        <v>19</v>
      </c>
      <c r="E12" s="3">
        <v>49.65</v>
      </c>
      <c r="F12" s="3">
        <v>48.96</v>
      </c>
      <c r="G12" s="2">
        <f t="shared" si="0"/>
        <v>0.68999999999999773</v>
      </c>
    </row>
    <row r="13" spans="1:18" x14ac:dyDescent="0.25">
      <c r="A13" s="1" t="s">
        <v>7</v>
      </c>
      <c r="B13" t="s">
        <v>18</v>
      </c>
      <c r="C13" t="s">
        <v>21</v>
      </c>
      <c r="D13" t="s">
        <v>19</v>
      </c>
      <c r="E13" s="3">
        <v>52.47</v>
      </c>
      <c r="F13" s="3">
        <v>49.42</v>
      </c>
      <c r="G13" s="2">
        <f t="shared" si="0"/>
        <v>3.0499999999999972</v>
      </c>
    </row>
    <row r="14" spans="1:18" x14ac:dyDescent="0.25">
      <c r="A14" s="1" t="s">
        <v>8</v>
      </c>
      <c r="B14" t="s">
        <v>18</v>
      </c>
      <c r="C14" t="s">
        <v>21</v>
      </c>
      <c r="D14" t="s">
        <v>19</v>
      </c>
      <c r="E14" s="3">
        <v>50.31</v>
      </c>
      <c r="F14" s="3">
        <v>50.07</v>
      </c>
      <c r="G14" s="2">
        <f t="shared" si="0"/>
        <v>0.24000000000000199</v>
      </c>
    </row>
    <row r="15" spans="1:18" x14ac:dyDescent="0.25">
      <c r="A15" s="1" t="s">
        <v>9</v>
      </c>
      <c r="B15" t="s">
        <v>18</v>
      </c>
      <c r="C15" t="s">
        <v>21</v>
      </c>
      <c r="D15" t="s">
        <v>19</v>
      </c>
      <c r="E15" s="3">
        <v>52.76</v>
      </c>
      <c r="F15" s="3">
        <v>50.19</v>
      </c>
      <c r="G15" s="2">
        <f t="shared" si="0"/>
        <v>2.5700000000000003</v>
      </c>
    </row>
    <row r="16" spans="1:18" x14ac:dyDescent="0.25">
      <c r="A16" s="1" t="s">
        <v>10</v>
      </c>
      <c r="B16" t="s">
        <v>18</v>
      </c>
      <c r="C16" t="s">
        <v>21</v>
      </c>
      <c r="D16" t="s">
        <v>19</v>
      </c>
      <c r="E16" s="3">
        <v>49.69</v>
      </c>
      <c r="F16" s="3">
        <v>49.15</v>
      </c>
      <c r="G16" s="2">
        <f t="shared" si="0"/>
        <v>0.53999999999999915</v>
      </c>
    </row>
    <row r="17" spans="1:7" x14ac:dyDescent="0.25">
      <c r="A17" s="1" t="s">
        <v>11</v>
      </c>
      <c r="B17" t="s">
        <v>18</v>
      </c>
      <c r="C17" t="s">
        <v>21</v>
      </c>
      <c r="D17" t="s">
        <v>19</v>
      </c>
      <c r="E17" s="3">
        <v>49.49</v>
      </c>
      <c r="F17" s="3">
        <v>50.03</v>
      </c>
      <c r="G17" s="2">
        <f t="shared" si="0"/>
        <v>-0.53999999999999915</v>
      </c>
    </row>
    <row r="18" spans="1:7" x14ac:dyDescent="0.25">
      <c r="A18" s="1" t="s">
        <v>16</v>
      </c>
      <c r="B18" t="s">
        <v>18</v>
      </c>
      <c r="C18" t="s">
        <v>21</v>
      </c>
      <c r="D18" t="s">
        <v>19</v>
      </c>
      <c r="E18" s="3">
        <v>50.486030150753756</v>
      </c>
      <c r="F18" s="3">
        <v>47.685477386934693</v>
      </c>
      <c r="G18" s="2">
        <f t="shared" si="0"/>
        <v>2.8005527638190628</v>
      </c>
    </row>
    <row r="19" spans="1:7" x14ac:dyDescent="0.25">
      <c r="A19" s="1" t="s">
        <v>0</v>
      </c>
      <c r="B19" t="s">
        <v>17</v>
      </c>
      <c r="C19" t="s">
        <v>21</v>
      </c>
      <c r="D19" t="s">
        <v>20</v>
      </c>
      <c r="E19" s="3">
        <v>55.35</v>
      </c>
      <c r="F19" s="3">
        <v>51.77</v>
      </c>
      <c r="G19" s="2">
        <f t="shared" si="0"/>
        <v>3.5799999999999983</v>
      </c>
    </row>
    <row r="20" spans="1:7" x14ac:dyDescent="0.25">
      <c r="A20" s="1" t="s">
        <v>1</v>
      </c>
      <c r="B20" t="s">
        <v>17</v>
      </c>
      <c r="C20" t="s">
        <v>21</v>
      </c>
      <c r="D20" t="s">
        <v>20</v>
      </c>
      <c r="E20" s="3">
        <v>55.75</v>
      </c>
      <c r="F20" s="3">
        <v>53.35</v>
      </c>
      <c r="G20" s="2">
        <f t="shared" si="0"/>
        <v>2.3999999999999986</v>
      </c>
    </row>
    <row r="21" spans="1:7" x14ac:dyDescent="0.25">
      <c r="A21" s="1" t="s">
        <v>12</v>
      </c>
      <c r="B21" t="s">
        <v>17</v>
      </c>
      <c r="C21" t="s">
        <v>21</v>
      </c>
      <c r="D21" t="s">
        <v>20</v>
      </c>
      <c r="E21" s="3">
        <v>58.44030456852785</v>
      </c>
      <c r="F21" s="3">
        <v>54.544213197969576</v>
      </c>
      <c r="G21" s="2">
        <f t="shared" si="0"/>
        <v>3.896091370558274</v>
      </c>
    </row>
    <row r="22" spans="1:7" x14ac:dyDescent="0.25">
      <c r="A22" s="1" t="s">
        <v>13</v>
      </c>
      <c r="B22" t="s">
        <v>17</v>
      </c>
      <c r="C22" t="s">
        <v>21</v>
      </c>
      <c r="D22" t="s">
        <v>20</v>
      </c>
      <c r="E22" s="3">
        <v>58.92781725888328</v>
      </c>
      <c r="F22" s="3">
        <v>54.072944162436606</v>
      </c>
      <c r="G22" s="2">
        <f t="shared" si="0"/>
        <v>4.8548730964466742</v>
      </c>
    </row>
    <row r="23" spans="1:7" x14ac:dyDescent="0.25">
      <c r="A23" s="1" t="s">
        <v>14</v>
      </c>
      <c r="B23" t="s">
        <v>17</v>
      </c>
      <c r="C23" t="s">
        <v>21</v>
      </c>
      <c r="D23" t="s">
        <v>20</v>
      </c>
      <c r="E23" s="3">
        <v>59.864720812182732</v>
      </c>
      <c r="F23" s="3">
        <v>53.650304568527915</v>
      </c>
      <c r="G23" s="2">
        <f t="shared" si="0"/>
        <v>6.2144162436548172</v>
      </c>
    </row>
    <row r="24" spans="1:7" x14ac:dyDescent="0.25">
      <c r="A24" s="1" t="s">
        <v>15</v>
      </c>
      <c r="B24" t="s">
        <v>17</v>
      </c>
      <c r="C24" t="s">
        <v>21</v>
      </c>
      <c r="D24" t="s">
        <v>20</v>
      </c>
      <c r="E24" s="3">
        <v>57.611675126903556</v>
      </c>
      <c r="F24" s="3">
        <v>53.319086294416245</v>
      </c>
      <c r="G24" s="2">
        <f t="shared" si="0"/>
        <v>4.2925888324873114</v>
      </c>
    </row>
    <row r="25" spans="1:7" x14ac:dyDescent="0.25">
      <c r="A25" s="1" t="s">
        <v>2</v>
      </c>
      <c r="B25" t="s">
        <v>18</v>
      </c>
      <c r="C25" t="s">
        <v>21</v>
      </c>
      <c r="D25" t="s">
        <v>20</v>
      </c>
      <c r="E25" s="3">
        <v>51.3</v>
      </c>
      <c r="F25" s="3">
        <v>51.09</v>
      </c>
      <c r="G25" s="2">
        <f t="shared" si="0"/>
        <v>0.20999999999999375</v>
      </c>
    </row>
    <row r="26" spans="1:7" x14ac:dyDescent="0.25">
      <c r="A26" s="1" t="s">
        <v>3</v>
      </c>
      <c r="B26" t="s">
        <v>18</v>
      </c>
      <c r="C26" t="s">
        <v>21</v>
      </c>
      <c r="D26" t="s">
        <v>20</v>
      </c>
      <c r="E26" s="3">
        <v>52.85</v>
      </c>
      <c r="F26" s="3">
        <v>50.8</v>
      </c>
      <c r="G26" s="2">
        <f t="shared" si="0"/>
        <v>2.0500000000000043</v>
      </c>
    </row>
    <row r="27" spans="1:7" x14ac:dyDescent="0.25">
      <c r="A27" s="1" t="s">
        <v>4</v>
      </c>
      <c r="B27" t="s">
        <v>18</v>
      </c>
      <c r="C27" t="s">
        <v>21</v>
      </c>
      <c r="D27" t="s">
        <v>20</v>
      </c>
      <c r="E27" s="3">
        <v>51.38</v>
      </c>
      <c r="F27" s="3">
        <v>50.21</v>
      </c>
      <c r="G27" s="2">
        <f t="shared" si="0"/>
        <v>1.1700000000000017</v>
      </c>
    </row>
    <row r="28" spans="1:7" x14ac:dyDescent="0.25">
      <c r="A28" s="1" t="s">
        <v>5</v>
      </c>
      <c r="B28" t="s">
        <v>18</v>
      </c>
      <c r="C28" t="s">
        <v>21</v>
      </c>
      <c r="D28" t="s">
        <v>20</v>
      </c>
      <c r="E28" s="3">
        <v>53.12</v>
      </c>
      <c r="F28" s="3">
        <v>49.81</v>
      </c>
      <c r="G28" s="2">
        <f t="shared" si="0"/>
        <v>3.3099999999999952</v>
      </c>
    </row>
    <row r="29" spans="1:7" x14ac:dyDescent="0.25">
      <c r="A29" s="1" t="s">
        <v>6</v>
      </c>
      <c r="B29" t="s">
        <v>18</v>
      </c>
      <c r="C29" t="s">
        <v>21</v>
      </c>
      <c r="D29" t="s">
        <v>20</v>
      </c>
      <c r="E29" s="3">
        <v>53.09</v>
      </c>
      <c r="F29" s="3">
        <v>50.57</v>
      </c>
      <c r="G29" s="2">
        <f t="shared" si="0"/>
        <v>2.5200000000000031</v>
      </c>
    </row>
    <row r="30" spans="1:7" x14ac:dyDescent="0.25">
      <c r="A30" s="1" t="s">
        <v>7</v>
      </c>
      <c r="B30" t="s">
        <v>18</v>
      </c>
      <c r="C30" t="s">
        <v>21</v>
      </c>
      <c r="D30" t="s">
        <v>20</v>
      </c>
      <c r="E30" s="3">
        <v>55.29</v>
      </c>
      <c r="F30" s="3">
        <v>52.57</v>
      </c>
      <c r="G30" s="2">
        <f t="shared" si="0"/>
        <v>2.7199999999999989</v>
      </c>
    </row>
    <row r="31" spans="1:7" x14ac:dyDescent="0.25">
      <c r="A31" s="1" t="s">
        <v>8</v>
      </c>
      <c r="B31" t="s">
        <v>18</v>
      </c>
      <c r="C31" t="s">
        <v>21</v>
      </c>
      <c r="D31" t="s">
        <v>20</v>
      </c>
      <c r="E31" s="3">
        <v>54.2</v>
      </c>
      <c r="F31" s="3">
        <v>52.16</v>
      </c>
      <c r="G31" s="2">
        <f t="shared" si="0"/>
        <v>2.0400000000000063</v>
      </c>
    </row>
    <row r="32" spans="1:7" x14ac:dyDescent="0.25">
      <c r="A32" s="1" t="s">
        <v>9</v>
      </c>
      <c r="B32" t="s">
        <v>18</v>
      </c>
      <c r="C32" t="s">
        <v>21</v>
      </c>
      <c r="D32" t="s">
        <v>20</v>
      </c>
      <c r="E32" s="3">
        <v>54.4</v>
      </c>
      <c r="F32" s="3">
        <v>50.81</v>
      </c>
      <c r="G32" s="2">
        <f t="shared" si="0"/>
        <v>3.5899999999999963</v>
      </c>
    </row>
    <row r="33" spans="1:7" x14ac:dyDescent="0.25">
      <c r="A33" s="1" t="s">
        <v>10</v>
      </c>
      <c r="B33" t="s">
        <v>18</v>
      </c>
      <c r="C33" t="s">
        <v>21</v>
      </c>
      <c r="D33" t="s">
        <v>20</v>
      </c>
      <c r="E33" s="3">
        <v>51.54</v>
      </c>
      <c r="F33" s="3">
        <v>51.72</v>
      </c>
      <c r="G33" s="2">
        <f t="shared" si="0"/>
        <v>-0.17999999999999972</v>
      </c>
    </row>
    <row r="34" spans="1:7" x14ac:dyDescent="0.25">
      <c r="A34" s="1" t="s">
        <v>11</v>
      </c>
      <c r="B34" t="s">
        <v>18</v>
      </c>
      <c r="C34" t="s">
        <v>21</v>
      </c>
      <c r="D34" t="s">
        <v>20</v>
      </c>
      <c r="E34" s="3">
        <v>52.71</v>
      </c>
      <c r="F34" s="3">
        <v>51.29</v>
      </c>
      <c r="G34" s="2">
        <f t="shared" si="0"/>
        <v>1.4200000000000017</v>
      </c>
    </row>
    <row r="35" spans="1:7" x14ac:dyDescent="0.25">
      <c r="A35" s="1" t="s">
        <v>16</v>
      </c>
      <c r="B35" t="s">
        <v>18</v>
      </c>
      <c r="C35" t="s">
        <v>21</v>
      </c>
      <c r="D35" t="s">
        <v>20</v>
      </c>
      <c r="E35" s="2">
        <v>53.440862944162426</v>
      </c>
      <c r="F35" s="2">
        <v>50.201015228426371</v>
      </c>
      <c r="G35" s="2">
        <f t="shared" si="0"/>
        <v>3.2398477157360546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59C7-F42A-47DD-ADBB-79D4AA7AE1DB}">
  <dimension ref="A1:G35"/>
  <sheetViews>
    <sheetView workbookViewId="0">
      <selection activeCell="B1" sqref="B1"/>
    </sheetView>
  </sheetViews>
  <sheetFormatPr defaultRowHeight="15" x14ac:dyDescent="0.25"/>
  <sheetData>
    <row r="1" spans="1:7" x14ac:dyDescent="0.25">
      <c r="A1" t="s">
        <v>25</v>
      </c>
      <c r="B1" t="s">
        <v>32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s="1" t="s">
        <v>0</v>
      </c>
      <c r="B2" t="s">
        <v>17</v>
      </c>
      <c r="C2" t="s">
        <v>22</v>
      </c>
      <c r="D2" t="s">
        <v>19</v>
      </c>
      <c r="E2" s="3">
        <v>63.827537688442249</v>
      </c>
      <c r="F2" s="3">
        <v>65.749798994974867</v>
      </c>
      <c r="G2" s="2">
        <f>E2-F2</f>
        <v>-1.9222613065326186</v>
      </c>
    </row>
    <row r="3" spans="1:7" x14ac:dyDescent="0.25">
      <c r="A3" s="1" t="s">
        <v>1</v>
      </c>
      <c r="B3" t="s">
        <v>17</v>
      </c>
      <c r="C3" t="s">
        <v>22</v>
      </c>
      <c r="D3" t="s">
        <v>19</v>
      </c>
      <c r="E3" s="3">
        <v>59.879246231155797</v>
      </c>
      <c r="F3" s="3">
        <v>62.529246231155795</v>
      </c>
      <c r="G3" s="2">
        <f t="shared" ref="G3:G35" si="0">E3-F3</f>
        <v>-2.6499999999999986</v>
      </c>
    </row>
    <row r="4" spans="1:7" x14ac:dyDescent="0.25">
      <c r="A4" s="1" t="s">
        <v>12</v>
      </c>
      <c r="B4" t="s">
        <v>17</v>
      </c>
      <c r="C4" t="s">
        <v>22</v>
      </c>
      <c r="D4" t="s">
        <v>19</v>
      </c>
      <c r="E4" s="3">
        <v>62.433266331658345</v>
      </c>
      <c r="F4" s="3">
        <v>63.260201005025095</v>
      </c>
      <c r="G4" s="2">
        <f t="shared" si="0"/>
        <v>-0.82693467336675042</v>
      </c>
    </row>
    <row r="5" spans="1:7" x14ac:dyDescent="0.25">
      <c r="A5" s="1" t="s">
        <v>13</v>
      </c>
      <c r="B5" t="s">
        <v>17</v>
      </c>
      <c r="C5" t="s">
        <v>22</v>
      </c>
      <c r="D5" t="s">
        <v>19</v>
      </c>
      <c r="E5" s="3">
        <v>61.405628140703563</v>
      </c>
      <c r="F5" s="3">
        <v>61.959547738693459</v>
      </c>
      <c r="G5" s="2">
        <f t="shared" si="0"/>
        <v>-0.55391959798989632</v>
      </c>
    </row>
    <row r="6" spans="1:7" x14ac:dyDescent="0.25">
      <c r="A6" s="1" t="s">
        <v>14</v>
      </c>
      <c r="B6" t="s">
        <v>17</v>
      </c>
      <c r="C6" t="s">
        <v>22</v>
      </c>
      <c r="D6" t="s">
        <v>19</v>
      </c>
      <c r="E6" s="3">
        <v>64.152713567839186</v>
      </c>
      <c r="F6" s="3">
        <v>64.088040201005057</v>
      </c>
      <c r="G6" s="2">
        <f t="shared" si="0"/>
        <v>6.4673366834128387E-2</v>
      </c>
    </row>
    <row r="7" spans="1:7" x14ac:dyDescent="0.25">
      <c r="A7" s="1" t="s">
        <v>15</v>
      </c>
      <c r="B7" t="s">
        <v>17</v>
      </c>
      <c r="C7" t="s">
        <v>22</v>
      </c>
      <c r="D7" t="s">
        <v>19</v>
      </c>
      <c r="E7" s="3">
        <v>61.889396984924652</v>
      </c>
      <c r="F7" s="3">
        <v>62.524120603015056</v>
      </c>
      <c r="G7" s="2">
        <f t="shared" si="0"/>
        <v>-0.63472361809040478</v>
      </c>
    </row>
    <row r="8" spans="1:7" x14ac:dyDescent="0.25">
      <c r="A8" s="1" t="s">
        <v>2</v>
      </c>
      <c r="B8" t="s">
        <v>18</v>
      </c>
      <c r="C8" t="s">
        <v>22</v>
      </c>
      <c r="D8" t="s">
        <v>19</v>
      </c>
      <c r="E8" s="3">
        <v>54.335326633165828</v>
      </c>
      <c r="F8" s="3">
        <v>56.047487439999998</v>
      </c>
      <c r="G8" s="2">
        <f t="shared" si="0"/>
        <v>-1.71216080683417</v>
      </c>
    </row>
    <row r="9" spans="1:7" x14ac:dyDescent="0.25">
      <c r="A9" s="1" t="s">
        <v>3</v>
      </c>
      <c r="B9" t="s">
        <v>18</v>
      </c>
      <c r="C9" t="s">
        <v>22</v>
      </c>
      <c r="D9" t="s">
        <v>19</v>
      </c>
      <c r="E9" s="3">
        <v>55.482060301507502</v>
      </c>
      <c r="F9" s="3">
        <v>56.822211060000001</v>
      </c>
      <c r="G9" s="2">
        <f t="shared" si="0"/>
        <v>-1.3401507584924985</v>
      </c>
    </row>
    <row r="10" spans="1:7" x14ac:dyDescent="0.25">
      <c r="A10" s="1" t="s">
        <v>4</v>
      </c>
      <c r="B10" t="s">
        <v>18</v>
      </c>
      <c r="C10" t="s">
        <v>22</v>
      </c>
      <c r="D10" t="s">
        <v>19</v>
      </c>
      <c r="E10" s="3">
        <v>55.375678391959774</v>
      </c>
      <c r="F10" s="3">
        <v>56.605226129999998</v>
      </c>
      <c r="G10" s="2">
        <f t="shared" si="0"/>
        <v>-1.2295477380402247</v>
      </c>
    </row>
    <row r="11" spans="1:7" x14ac:dyDescent="0.25">
      <c r="A11" s="1" t="s">
        <v>5</v>
      </c>
      <c r="B11" t="s">
        <v>18</v>
      </c>
      <c r="C11" t="s">
        <v>22</v>
      </c>
      <c r="D11" t="s">
        <v>19</v>
      </c>
      <c r="E11" s="3">
        <v>54.391306532663329</v>
      </c>
      <c r="F11" s="3">
        <v>54.169045230000002</v>
      </c>
      <c r="G11" s="2">
        <f t="shared" si="0"/>
        <v>0.22226130266332689</v>
      </c>
    </row>
    <row r="12" spans="1:7" x14ac:dyDescent="0.25">
      <c r="A12" s="1" t="s">
        <v>6</v>
      </c>
      <c r="B12" t="s">
        <v>18</v>
      </c>
      <c r="C12" t="s">
        <v>22</v>
      </c>
      <c r="D12" t="s">
        <v>19</v>
      </c>
      <c r="E12" s="3">
        <v>55.311658291457242</v>
      </c>
      <c r="F12" s="3">
        <v>55.054522609999999</v>
      </c>
      <c r="G12" s="2">
        <f t="shared" si="0"/>
        <v>0.25713568145724253</v>
      </c>
    </row>
    <row r="13" spans="1:7" x14ac:dyDescent="0.25">
      <c r="A13" s="1" t="s">
        <v>7</v>
      </c>
      <c r="B13" t="s">
        <v>18</v>
      </c>
      <c r="C13" t="s">
        <v>22</v>
      </c>
      <c r="D13" t="s">
        <v>19</v>
      </c>
      <c r="E13" s="3">
        <v>54.172814070351727</v>
      </c>
      <c r="F13" s="3">
        <v>52.437889447236181</v>
      </c>
      <c r="G13" s="2">
        <f t="shared" si="0"/>
        <v>1.7349246231155462</v>
      </c>
    </row>
    <row r="14" spans="1:7" x14ac:dyDescent="0.25">
      <c r="A14" s="1" t="s">
        <v>8</v>
      </c>
      <c r="B14" t="s">
        <v>18</v>
      </c>
      <c r="C14" t="s">
        <v>22</v>
      </c>
      <c r="D14" t="s">
        <v>19</v>
      </c>
      <c r="E14" s="3">
        <v>56.054472361809047</v>
      </c>
      <c r="F14" s="3">
        <v>53.722512562814067</v>
      </c>
      <c r="G14" s="2">
        <f t="shared" si="0"/>
        <v>2.3319597989949798</v>
      </c>
    </row>
    <row r="15" spans="1:7" x14ac:dyDescent="0.25">
      <c r="A15" s="1" t="s">
        <v>9</v>
      </c>
      <c r="B15" t="s">
        <v>18</v>
      </c>
      <c r="C15" t="s">
        <v>22</v>
      </c>
      <c r="D15" t="s">
        <v>19</v>
      </c>
      <c r="E15" s="3">
        <v>56.690201005025116</v>
      </c>
      <c r="F15" s="3">
        <v>53.136733668341719</v>
      </c>
      <c r="G15" s="2">
        <f t="shared" si="0"/>
        <v>3.5534673366833971</v>
      </c>
    </row>
    <row r="16" spans="1:7" x14ac:dyDescent="0.25">
      <c r="A16" s="1" t="s">
        <v>10</v>
      </c>
      <c r="B16" t="s">
        <v>18</v>
      </c>
      <c r="C16" t="s">
        <v>22</v>
      </c>
      <c r="D16" t="s">
        <v>19</v>
      </c>
      <c r="E16" s="3">
        <v>52.614170854271364</v>
      </c>
      <c r="F16" s="3">
        <v>51.073115577889475</v>
      </c>
      <c r="G16" s="2">
        <f t="shared" si="0"/>
        <v>1.5410552763818899</v>
      </c>
    </row>
    <row r="17" spans="1:7" x14ac:dyDescent="0.25">
      <c r="A17" s="1" t="s">
        <v>11</v>
      </c>
      <c r="B17" t="s">
        <v>18</v>
      </c>
      <c r="C17" t="s">
        <v>22</v>
      </c>
      <c r="D17" t="s">
        <v>19</v>
      </c>
      <c r="E17" s="3">
        <v>55.108040201005018</v>
      </c>
      <c r="F17" s="3">
        <v>52.227487437185914</v>
      </c>
      <c r="G17" s="2">
        <f t="shared" si="0"/>
        <v>2.8805527638191037</v>
      </c>
    </row>
    <row r="18" spans="1:7" x14ac:dyDescent="0.25">
      <c r="A18" s="1" t="s">
        <v>16</v>
      </c>
      <c r="B18" t="s">
        <v>18</v>
      </c>
      <c r="C18" t="s">
        <v>22</v>
      </c>
      <c r="D18" t="s">
        <v>19</v>
      </c>
      <c r="E18" s="3">
        <v>52.625678391959831</v>
      </c>
      <c r="F18" s="3">
        <v>50.160301507537703</v>
      </c>
      <c r="G18" s="2">
        <f t="shared" si="0"/>
        <v>2.4653768844221275</v>
      </c>
    </row>
    <row r="19" spans="1:7" x14ac:dyDescent="0.25">
      <c r="A19" s="1" t="s">
        <v>0</v>
      </c>
      <c r="B19" t="s">
        <v>17</v>
      </c>
      <c r="C19" t="s">
        <v>22</v>
      </c>
      <c r="D19" t="s">
        <v>20</v>
      </c>
      <c r="E19" s="3">
        <v>60.546243654822312</v>
      </c>
      <c r="F19" s="3">
        <v>62.385431472081208</v>
      </c>
      <c r="G19" s="2">
        <f t="shared" si="0"/>
        <v>-1.839187817258896</v>
      </c>
    </row>
    <row r="20" spans="1:7" x14ac:dyDescent="0.25">
      <c r="A20" s="1" t="s">
        <v>1</v>
      </c>
      <c r="B20" t="s">
        <v>17</v>
      </c>
      <c r="C20" t="s">
        <v>22</v>
      </c>
      <c r="D20" t="s">
        <v>20</v>
      </c>
      <c r="E20" s="3">
        <v>60.479238578680203</v>
      </c>
      <c r="F20" s="3">
        <v>62.18416243654822</v>
      </c>
      <c r="G20" s="2">
        <f t="shared" si="0"/>
        <v>-1.7049238578680175</v>
      </c>
    </row>
    <row r="21" spans="1:7" x14ac:dyDescent="0.25">
      <c r="A21" s="1" t="s">
        <v>12</v>
      </c>
      <c r="B21" t="s">
        <v>17</v>
      </c>
      <c r="C21" t="s">
        <v>22</v>
      </c>
      <c r="D21" t="s">
        <v>20</v>
      </c>
      <c r="E21" s="3">
        <v>61.314822335025383</v>
      </c>
      <c r="F21" s="3">
        <v>61.59324873096449</v>
      </c>
      <c r="G21" s="2">
        <f t="shared" si="0"/>
        <v>-0.2784263959391069</v>
      </c>
    </row>
    <row r="22" spans="1:7" x14ac:dyDescent="0.25">
      <c r="A22" s="1" t="s">
        <v>13</v>
      </c>
      <c r="B22" t="s">
        <v>17</v>
      </c>
      <c r="C22" t="s">
        <v>22</v>
      </c>
      <c r="D22" t="s">
        <v>20</v>
      </c>
      <c r="E22" s="3">
        <v>61.983299492385811</v>
      </c>
      <c r="F22" s="3">
        <v>62.095634517766506</v>
      </c>
      <c r="G22" s="2">
        <f t="shared" si="0"/>
        <v>-0.11233502538069473</v>
      </c>
    </row>
    <row r="23" spans="1:7" x14ac:dyDescent="0.25">
      <c r="A23" s="1" t="s">
        <v>14</v>
      </c>
      <c r="B23" t="s">
        <v>17</v>
      </c>
      <c r="C23" t="s">
        <v>22</v>
      </c>
      <c r="D23" t="s">
        <v>20</v>
      </c>
      <c r="E23" s="3">
        <v>61.830152284263967</v>
      </c>
      <c r="F23" s="3">
        <v>61.995532994923842</v>
      </c>
      <c r="G23" s="2">
        <f t="shared" si="0"/>
        <v>-0.16538071065987481</v>
      </c>
    </row>
    <row r="24" spans="1:7" x14ac:dyDescent="0.25">
      <c r="A24" s="1" t="s">
        <v>15</v>
      </c>
      <c r="B24" t="s">
        <v>17</v>
      </c>
      <c r="C24" t="s">
        <v>22</v>
      </c>
      <c r="D24" t="s">
        <v>20</v>
      </c>
      <c r="E24" s="3">
        <v>60.631776649746158</v>
      </c>
      <c r="F24" s="3">
        <v>59.130507614213172</v>
      </c>
      <c r="G24" s="2">
        <f t="shared" si="0"/>
        <v>1.5012690355329852</v>
      </c>
    </row>
    <row r="25" spans="1:7" x14ac:dyDescent="0.25">
      <c r="A25" s="1" t="s">
        <v>2</v>
      </c>
      <c r="B25" t="s">
        <v>18</v>
      </c>
      <c r="C25" t="s">
        <v>22</v>
      </c>
      <c r="D25" t="s">
        <v>20</v>
      </c>
      <c r="E25" s="3">
        <v>55.861116751269016</v>
      </c>
      <c r="F25" s="3">
        <v>55.395685280000002</v>
      </c>
      <c r="G25" s="2">
        <f t="shared" si="0"/>
        <v>0.46543147126901374</v>
      </c>
    </row>
    <row r="26" spans="1:7" x14ac:dyDescent="0.25">
      <c r="A26" s="1" t="s">
        <v>3</v>
      </c>
      <c r="B26" t="s">
        <v>18</v>
      </c>
      <c r="C26" t="s">
        <v>22</v>
      </c>
      <c r="D26" t="s">
        <v>20</v>
      </c>
      <c r="E26" s="3">
        <v>55.654010152284258</v>
      </c>
      <c r="F26" s="3">
        <v>56.196903550000002</v>
      </c>
      <c r="G26" s="2">
        <f t="shared" si="0"/>
        <v>-0.54289339771574419</v>
      </c>
    </row>
    <row r="27" spans="1:7" x14ac:dyDescent="0.25">
      <c r="A27" s="1" t="s">
        <v>4</v>
      </c>
      <c r="B27" t="s">
        <v>18</v>
      </c>
      <c r="C27" t="s">
        <v>22</v>
      </c>
      <c r="D27" t="s">
        <v>20</v>
      </c>
      <c r="E27" s="3">
        <v>57.076852791878167</v>
      </c>
      <c r="F27" s="3">
        <v>56.654923859999997</v>
      </c>
      <c r="G27" s="2">
        <f t="shared" si="0"/>
        <v>0.42192893187817049</v>
      </c>
    </row>
    <row r="28" spans="1:7" x14ac:dyDescent="0.25">
      <c r="A28" s="1" t="s">
        <v>5</v>
      </c>
      <c r="B28" t="s">
        <v>18</v>
      </c>
      <c r="C28" t="s">
        <v>22</v>
      </c>
      <c r="D28" t="s">
        <v>20</v>
      </c>
      <c r="E28" s="3">
        <v>55.29746192893402</v>
      </c>
      <c r="F28" s="3">
        <v>55.539847719999997</v>
      </c>
      <c r="G28" s="2">
        <f t="shared" si="0"/>
        <v>-0.24238579106597768</v>
      </c>
    </row>
    <row r="29" spans="1:7" x14ac:dyDescent="0.25">
      <c r="A29" s="1" t="s">
        <v>6</v>
      </c>
      <c r="B29" t="s">
        <v>18</v>
      </c>
      <c r="C29" t="s">
        <v>22</v>
      </c>
      <c r="D29" t="s">
        <v>20</v>
      </c>
      <c r="E29" s="3">
        <v>57.969289340101497</v>
      </c>
      <c r="F29" s="3">
        <v>56.3777665</v>
      </c>
      <c r="G29" s="2">
        <f t="shared" si="0"/>
        <v>1.5915228401014971</v>
      </c>
    </row>
    <row r="30" spans="1:7" x14ac:dyDescent="0.25">
      <c r="A30" s="1" t="s">
        <v>7</v>
      </c>
      <c r="B30" t="s">
        <v>18</v>
      </c>
      <c r="C30" t="s">
        <v>22</v>
      </c>
      <c r="D30" t="s">
        <v>20</v>
      </c>
      <c r="E30" s="3">
        <v>57.379593908629467</v>
      </c>
      <c r="F30" s="3">
        <v>55.285431472081186</v>
      </c>
      <c r="G30" s="2">
        <f t="shared" si="0"/>
        <v>2.0941624365482809</v>
      </c>
    </row>
    <row r="31" spans="1:7" x14ac:dyDescent="0.25">
      <c r="A31" s="1" t="s">
        <v>8</v>
      </c>
      <c r="B31" t="s">
        <v>18</v>
      </c>
      <c r="C31" t="s">
        <v>22</v>
      </c>
      <c r="D31" t="s">
        <v>20</v>
      </c>
      <c r="E31" s="3">
        <v>57.572487309644693</v>
      </c>
      <c r="F31" s="3">
        <v>54.274162436548202</v>
      </c>
      <c r="G31" s="2">
        <f t="shared" si="0"/>
        <v>3.2983248730964903</v>
      </c>
    </row>
    <row r="32" spans="1:7" x14ac:dyDescent="0.25">
      <c r="A32" s="1" t="s">
        <v>9</v>
      </c>
      <c r="B32" t="s">
        <v>18</v>
      </c>
      <c r="C32" t="s">
        <v>22</v>
      </c>
      <c r="D32" t="s">
        <v>20</v>
      </c>
      <c r="E32" s="3">
        <v>57.293756345177648</v>
      </c>
      <c r="F32" s="3">
        <v>54.458426395939114</v>
      </c>
      <c r="G32" s="2">
        <f t="shared" si="0"/>
        <v>2.8353299492385347</v>
      </c>
    </row>
    <row r="33" spans="1:7" x14ac:dyDescent="0.25">
      <c r="A33" s="1" t="s">
        <v>10</v>
      </c>
      <c r="B33" t="s">
        <v>18</v>
      </c>
      <c r="C33" t="s">
        <v>22</v>
      </c>
      <c r="D33" t="s">
        <v>20</v>
      </c>
      <c r="E33" s="3">
        <v>53.022081218274117</v>
      </c>
      <c r="F33" s="3">
        <v>52.140913705583728</v>
      </c>
      <c r="G33" s="2">
        <f t="shared" si="0"/>
        <v>0.88116751269038929</v>
      </c>
    </row>
    <row r="34" spans="1:7" x14ac:dyDescent="0.25">
      <c r="A34" s="1" t="s">
        <v>11</v>
      </c>
      <c r="B34" t="s">
        <v>18</v>
      </c>
      <c r="C34" t="s">
        <v>22</v>
      </c>
      <c r="D34" t="s">
        <v>20</v>
      </c>
      <c r="E34" s="3">
        <v>55.165583756345164</v>
      </c>
      <c r="F34" s="3">
        <v>53.926903553299461</v>
      </c>
      <c r="G34" s="2">
        <f t="shared" si="0"/>
        <v>1.2386802030457034</v>
      </c>
    </row>
    <row r="35" spans="1:7" x14ac:dyDescent="0.25">
      <c r="A35" s="1" t="s">
        <v>16</v>
      </c>
      <c r="B35" t="s">
        <v>18</v>
      </c>
      <c r="C35" t="s">
        <v>22</v>
      </c>
      <c r="D35" t="s">
        <v>20</v>
      </c>
      <c r="E35" s="2">
        <v>54.8125888324873</v>
      </c>
      <c r="F35" s="2">
        <v>52.312690355329941</v>
      </c>
      <c r="G35" s="2">
        <f t="shared" si="0"/>
        <v>2.4998984771573589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CB33-C3E8-42EF-B9F4-32ED10A139EE}">
  <dimension ref="A1:G35"/>
  <sheetViews>
    <sheetView workbookViewId="0">
      <selection activeCell="B1" sqref="B1"/>
    </sheetView>
  </sheetViews>
  <sheetFormatPr defaultRowHeight="15" x14ac:dyDescent="0.25"/>
  <sheetData>
    <row r="1" spans="1:7" x14ac:dyDescent="0.25">
      <c r="A1" t="s">
        <v>25</v>
      </c>
      <c r="B1" t="s">
        <v>32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2</v>
      </c>
      <c r="B2" t="s">
        <v>18</v>
      </c>
      <c r="C2" t="s">
        <v>24</v>
      </c>
      <c r="D2" t="s">
        <v>19</v>
      </c>
      <c r="E2" s="4">
        <v>106.21575757575756</v>
      </c>
      <c r="F2" s="4">
        <v>111.58658291457286</v>
      </c>
      <c r="G2" s="2">
        <f>E2-F2</f>
        <v>-5.370825338815294</v>
      </c>
    </row>
    <row r="3" spans="1:7" x14ac:dyDescent="0.25">
      <c r="A3" t="s">
        <v>3</v>
      </c>
      <c r="B3" t="s">
        <v>18</v>
      </c>
      <c r="C3" t="s">
        <v>24</v>
      </c>
      <c r="D3" t="s">
        <v>19</v>
      </c>
      <c r="E3" s="4">
        <v>103.80909547738696</v>
      </c>
      <c r="F3" s="4">
        <v>107.81412060301506</v>
      </c>
      <c r="G3" s="2">
        <f>E3-F3</f>
        <v>-4.0050251256280944</v>
      </c>
    </row>
    <row r="4" spans="1:7" x14ac:dyDescent="0.25">
      <c r="A4" t="s">
        <v>4</v>
      </c>
      <c r="B4" t="s">
        <v>18</v>
      </c>
      <c r="C4" t="s">
        <v>24</v>
      </c>
      <c r="D4" t="s">
        <v>19</v>
      </c>
      <c r="E4" s="4">
        <v>103.28708542713562</v>
      </c>
      <c r="F4" s="4">
        <v>111.52175879396977</v>
      </c>
      <c r="G4" s="2">
        <f t="shared" ref="G4:G35" si="0">E4-F4</f>
        <v>-8.2346733668341443</v>
      </c>
    </row>
    <row r="5" spans="1:7" x14ac:dyDescent="0.25">
      <c r="A5" t="s">
        <v>5</v>
      </c>
      <c r="B5" t="s">
        <v>18</v>
      </c>
      <c r="C5" t="s">
        <v>24</v>
      </c>
      <c r="D5" t="s">
        <v>19</v>
      </c>
      <c r="E5" s="4">
        <v>98.409497487437235</v>
      </c>
      <c r="F5" s="4">
        <v>105.112864321608</v>
      </c>
      <c r="G5" s="2">
        <f t="shared" si="0"/>
        <v>-6.7033668341707653</v>
      </c>
    </row>
    <row r="6" spans="1:7" x14ac:dyDescent="0.25">
      <c r="A6" t="s">
        <v>6</v>
      </c>
      <c r="B6" t="s">
        <v>18</v>
      </c>
      <c r="C6" t="s">
        <v>24</v>
      </c>
      <c r="D6" t="s">
        <v>19</v>
      </c>
      <c r="E6" s="4">
        <v>99.276733668341706</v>
      </c>
      <c r="F6" s="4">
        <v>106.36969849246228</v>
      </c>
      <c r="G6" s="2">
        <f t="shared" si="0"/>
        <v>-7.0929648241205712</v>
      </c>
    </row>
    <row r="7" spans="1:7" x14ac:dyDescent="0.25">
      <c r="A7" t="s">
        <v>0</v>
      </c>
      <c r="B7" t="s">
        <v>17</v>
      </c>
      <c r="C7" t="s">
        <v>24</v>
      </c>
      <c r="D7" t="s">
        <v>19</v>
      </c>
      <c r="E7" s="4">
        <v>102.99979899497491</v>
      </c>
      <c r="F7" s="4">
        <v>109.29195979899494</v>
      </c>
      <c r="G7" s="2">
        <f t="shared" si="0"/>
        <v>-6.2921608040200283</v>
      </c>
    </row>
    <row r="8" spans="1:7" x14ac:dyDescent="0.25">
      <c r="A8" t="s">
        <v>1</v>
      </c>
      <c r="B8" t="s">
        <v>17</v>
      </c>
      <c r="C8" t="s">
        <v>24</v>
      </c>
      <c r="D8" t="s">
        <v>19</v>
      </c>
      <c r="E8" s="4">
        <v>106.06206030150746</v>
      </c>
      <c r="F8" s="4">
        <v>111.23944723618094</v>
      </c>
      <c r="G8" s="2">
        <f t="shared" si="0"/>
        <v>-5.1773869346734784</v>
      </c>
    </row>
    <row r="9" spans="1:7" x14ac:dyDescent="0.25">
      <c r="A9" t="s">
        <v>2</v>
      </c>
      <c r="B9" t="s">
        <v>18</v>
      </c>
      <c r="C9" t="s">
        <v>24</v>
      </c>
      <c r="D9" t="s">
        <v>20</v>
      </c>
      <c r="E9" s="4">
        <v>99.529746192893384</v>
      </c>
      <c r="F9" s="4">
        <v>107.87736040609137</v>
      </c>
      <c r="G9" s="2">
        <f t="shared" si="0"/>
        <v>-8.3476142131979856</v>
      </c>
    </row>
    <row r="10" spans="1:7" x14ac:dyDescent="0.25">
      <c r="A10" t="s">
        <v>3</v>
      </c>
      <c r="B10" t="s">
        <v>18</v>
      </c>
      <c r="C10" t="s">
        <v>24</v>
      </c>
      <c r="D10" t="s">
        <v>20</v>
      </c>
      <c r="E10" s="4">
        <v>102.22680203045678</v>
      </c>
      <c r="F10" s="4">
        <v>105.89898477157359</v>
      </c>
      <c r="G10" s="2">
        <f t="shared" si="0"/>
        <v>-3.6721827411168135</v>
      </c>
    </row>
    <row r="11" spans="1:7" x14ac:dyDescent="0.25">
      <c r="A11" t="s">
        <v>4</v>
      </c>
      <c r="B11" t="s">
        <v>18</v>
      </c>
      <c r="C11" t="s">
        <v>24</v>
      </c>
      <c r="D11" t="s">
        <v>20</v>
      </c>
      <c r="E11" s="4">
        <v>100.92111675126901</v>
      </c>
      <c r="F11" s="4">
        <v>111.60451776649748</v>
      </c>
      <c r="G11" s="2">
        <f t="shared" si="0"/>
        <v>-10.683401015228469</v>
      </c>
    </row>
    <row r="12" spans="1:7" x14ac:dyDescent="0.25">
      <c r="A12" t="s">
        <v>5</v>
      </c>
      <c r="B12" t="s">
        <v>18</v>
      </c>
      <c r="C12" t="s">
        <v>24</v>
      </c>
      <c r="D12" t="s">
        <v>20</v>
      </c>
      <c r="E12" s="4">
        <v>98.116548223350208</v>
      </c>
      <c r="F12" s="4">
        <v>105.04446700507617</v>
      </c>
      <c r="G12" s="2">
        <f t="shared" si="0"/>
        <v>-6.927918781725964</v>
      </c>
    </row>
    <row r="13" spans="1:7" x14ac:dyDescent="0.25">
      <c r="A13" t="s">
        <v>6</v>
      </c>
      <c r="B13" t="s">
        <v>18</v>
      </c>
      <c r="C13" t="s">
        <v>24</v>
      </c>
      <c r="D13" t="s">
        <v>20</v>
      </c>
      <c r="E13" s="4">
        <v>101.18964467005077</v>
      </c>
      <c r="F13" s="4">
        <v>108.34395939086289</v>
      </c>
      <c r="G13" s="2">
        <f t="shared" si="0"/>
        <v>-7.1543147208121241</v>
      </c>
    </row>
    <row r="14" spans="1:7" x14ac:dyDescent="0.25">
      <c r="A14" t="s">
        <v>0</v>
      </c>
      <c r="B14" t="s">
        <v>17</v>
      </c>
      <c r="C14" t="s">
        <v>24</v>
      </c>
      <c r="D14" t="s">
        <v>20</v>
      </c>
      <c r="E14" s="4">
        <v>105.13192893401015</v>
      </c>
      <c r="F14" s="4">
        <v>110.91030456852796</v>
      </c>
      <c r="G14" s="2">
        <f t="shared" si="0"/>
        <v>-5.7783756345178148</v>
      </c>
    </row>
    <row r="15" spans="1:7" x14ac:dyDescent="0.25">
      <c r="A15" t="s">
        <v>1</v>
      </c>
      <c r="B15" t="s">
        <v>17</v>
      </c>
      <c r="C15" t="s">
        <v>24</v>
      </c>
      <c r="D15" t="s">
        <v>20</v>
      </c>
      <c r="E15" s="4">
        <v>108.05832487309642</v>
      </c>
      <c r="F15" s="4">
        <v>113.2780203045685</v>
      </c>
      <c r="G15" s="2">
        <f t="shared" si="0"/>
        <v>-5.2196954314720756</v>
      </c>
    </row>
    <row r="16" spans="1:7" x14ac:dyDescent="0.25">
      <c r="A16" t="s">
        <v>7</v>
      </c>
      <c r="B16" t="s">
        <v>18</v>
      </c>
      <c r="C16" t="s">
        <v>24</v>
      </c>
      <c r="D16" t="s">
        <v>19</v>
      </c>
      <c r="E16" s="5">
        <v>98.689346733668344</v>
      </c>
      <c r="F16" s="5">
        <v>98.689346733668344</v>
      </c>
      <c r="G16" s="2">
        <f t="shared" si="0"/>
        <v>0</v>
      </c>
    </row>
    <row r="17" spans="1:7" x14ac:dyDescent="0.25">
      <c r="A17" t="s">
        <v>8</v>
      </c>
      <c r="B17" t="s">
        <v>18</v>
      </c>
      <c r="C17" t="s">
        <v>24</v>
      </c>
      <c r="D17" t="s">
        <v>19</v>
      </c>
      <c r="E17" s="5">
        <v>102.99261306532665</v>
      </c>
      <c r="F17" s="5">
        <v>102.99261306532665</v>
      </c>
      <c r="G17" s="2">
        <f t="shared" si="0"/>
        <v>0</v>
      </c>
    </row>
    <row r="18" spans="1:7" x14ac:dyDescent="0.25">
      <c r="A18" t="s">
        <v>9</v>
      </c>
      <c r="B18" t="s">
        <v>18</v>
      </c>
      <c r="C18" t="s">
        <v>24</v>
      </c>
      <c r="D18" t="s">
        <v>19</v>
      </c>
      <c r="E18" s="5">
        <v>104.53748743718596</v>
      </c>
      <c r="F18" s="5">
        <v>104.53748743718596</v>
      </c>
      <c r="G18" s="2">
        <f t="shared" si="0"/>
        <v>0</v>
      </c>
    </row>
    <row r="19" spans="1:7" x14ac:dyDescent="0.25">
      <c r="A19" t="s">
        <v>10</v>
      </c>
      <c r="B19" t="s">
        <v>18</v>
      </c>
      <c r="C19" t="s">
        <v>24</v>
      </c>
      <c r="D19" t="s">
        <v>19</v>
      </c>
      <c r="E19" s="5">
        <v>103.16773869346729</v>
      </c>
      <c r="F19" s="5">
        <v>103.16773869346729</v>
      </c>
      <c r="G19" s="2">
        <f t="shared" si="0"/>
        <v>0</v>
      </c>
    </row>
    <row r="20" spans="1:7" x14ac:dyDescent="0.25">
      <c r="A20" t="s">
        <v>11</v>
      </c>
      <c r="B20" t="s">
        <v>18</v>
      </c>
      <c r="C20" t="s">
        <v>24</v>
      </c>
      <c r="D20" t="s">
        <v>19</v>
      </c>
      <c r="E20" s="5">
        <v>105.43693467336684</v>
      </c>
      <c r="F20" s="5">
        <v>105.43693467336684</v>
      </c>
      <c r="G20" s="2">
        <f t="shared" si="0"/>
        <v>0</v>
      </c>
    </row>
    <row r="21" spans="1:7" x14ac:dyDescent="0.25">
      <c r="A21" t="s">
        <v>7</v>
      </c>
      <c r="B21" t="s">
        <v>18</v>
      </c>
      <c r="C21" t="s">
        <v>24</v>
      </c>
      <c r="D21" t="s">
        <v>20</v>
      </c>
      <c r="E21" s="5">
        <v>100.35177664974621</v>
      </c>
      <c r="F21" s="5">
        <v>104.26172588832488</v>
      </c>
      <c r="G21" s="2">
        <f t="shared" si="0"/>
        <v>-3.9099492385786618</v>
      </c>
    </row>
    <row r="22" spans="1:7" x14ac:dyDescent="0.25">
      <c r="A22" t="s">
        <v>8</v>
      </c>
      <c r="B22" t="s">
        <v>18</v>
      </c>
      <c r="C22" t="s">
        <v>24</v>
      </c>
      <c r="D22" t="s">
        <v>20</v>
      </c>
      <c r="E22" s="5">
        <v>100.42467005076142</v>
      </c>
      <c r="F22" s="5">
        <v>102.95680203045679</v>
      </c>
      <c r="G22" s="2">
        <f t="shared" si="0"/>
        <v>-2.5321319796953645</v>
      </c>
    </row>
    <row r="23" spans="1:7" x14ac:dyDescent="0.25">
      <c r="A23" t="s">
        <v>9</v>
      </c>
      <c r="B23" t="s">
        <v>18</v>
      </c>
      <c r="C23" t="s">
        <v>24</v>
      </c>
      <c r="D23" t="s">
        <v>20</v>
      </c>
      <c r="E23" s="5">
        <v>103.38218274111674</v>
      </c>
      <c r="F23" s="5">
        <v>102.84304568527918</v>
      </c>
      <c r="G23" s="2">
        <f t="shared" si="0"/>
        <v>0.539137055837557</v>
      </c>
    </row>
    <row r="24" spans="1:7" x14ac:dyDescent="0.25">
      <c r="A24" t="s">
        <v>10</v>
      </c>
      <c r="B24" t="s">
        <v>18</v>
      </c>
      <c r="C24" t="s">
        <v>24</v>
      </c>
      <c r="D24" t="s">
        <v>20</v>
      </c>
      <c r="E24" s="5">
        <v>103.2530456852791</v>
      </c>
      <c r="F24" s="5">
        <v>103.20857868020299</v>
      </c>
      <c r="G24" s="2">
        <f t="shared" si="0"/>
        <v>4.4467005076114674E-2</v>
      </c>
    </row>
    <row r="25" spans="1:7" x14ac:dyDescent="0.25">
      <c r="A25" t="s">
        <v>11</v>
      </c>
      <c r="B25" t="s">
        <v>18</v>
      </c>
      <c r="C25" t="s">
        <v>24</v>
      </c>
      <c r="D25" t="s">
        <v>20</v>
      </c>
      <c r="E25" s="5">
        <v>106.43593908629445</v>
      </c>
      <c r="F25" s="5">
        <v>104.36771573604058</v>
      </c>
      <c r="G25" s="2">
        <f t="shared" si="0"/>
        <v>2.0682233502538736</v>
      </c>
    </row>
    <row r="26" spans="1:7" x14ac:dyDescent="0.25">
      <c r="A26" t="s">
        <v>12</v>
      </c>
      <c r="B26" t="s">
        <v>17</v>
      </c>
      <c r="C26" t="s">
        <v>24</v>
      </c>
      <c r="D26" t="s">
        <v>19</v>
      </c>
      <c r="E26" s="5">
        <v>105.58125628140706</v>
      </c>
      <c r="F26" s="5">
        <v>107.12095477386934</v>
      </c>
      <c r="G26" s="2">
        <f t="shared" si="0"/>
        <v>-1.5396984924622785</v>
      </c>
    </row>
    <row r="27" spans="1:7" x14ac:dyDescent="0.25">
      <c r="A27" t="s">
        <v>13</v>
      </c>
      <c r="B27" t="s">
        <v>17</v>
      </c>
      <c r="C27" t="s">
        <v>24</v>
      </c>
      <c r="D27" t="s">
        <v>19</v>
      </c>
      <c r="E27" s="5">
        <v>100.34412060301507</v>
      </c>
      <c r="F27" s="5">
        <v>99.478994974874382</v>
      </c>
      <c r="G27" s="2">
        <f t="shared" si="0"/>
        <v>0.86512562814068872</v>
      </c>
    </row>
    <row r="28" spans="1:7" x14ac:dyDescent="0.25">
      <c r="A28" t="s">
        <v>14</v>
      </c>
      <c r="B28" t="s">
        <v>17</v>
      </c>
      <c r="C28" t="s">
        <v>24</v>
      </c>
      <c r="D28" t="s">
        <v>19</v>
      </c>
      <c r="E28" s="5">
        <v>105.04829145728644</v>
      </c>
      <c r="F28" s="5">
        <v>103.56819095477385</v>
      </c>
      <c r="G28" s="2">
        <f t="shared" si="0"/>
        <v>1.4801005025125846</v>
      </c>
    </row>
    <row r="29" spans="1:7" x14ac:dyDescent="0.25">
      <c r="A29" t="s">
        <v>15</v>
      </c>
      <c r="B29" t="s">
        <v>17</v>
      </c>
      <c r="C29" t="s">
        <v>24</v>
      </c>
      <c r="D29" t="s">
        <v>19</v>
      </c>
      <c r="E29" s="5">
        <v>100.53834170854272</v>
      </c>
      <c r="F29" s="5">
        <v>101.4478391959799</v>
      </c>
      <c r="G29" s="2">
        <f t="shared" si="0"/>
        <v>-0.90949748743717862</v>
      </c>
    </row>
    <row r="30" spans="1:7" x14ac:dyDescent="0.25">
      <c r="A30" t="s">
        <v>16</v>
      </c>
      <c r="B30" t="s">
        <v>18</v>
      </c>
      <c r="C30" t="s">
        <v>24</v>
      </c>
      <c r="D30" t="s">
        <v>19</v>
      </c>
      <c r="E30" s="5">
        <v>103.77532663316589</v>
      </c>
      <c r="F30" s="5">
        <v>105.21457286432154</v>
      </c>
      <c r="G30" s="2">
        <f t="shared" si="0"/>
        <v>-1.43924623115565</v>
      </c>
    </row>
    <row r="31" spans="1:7" x14ac:dyDescent="0.25">
      <c r="A31" t="s">
        <v>12</v>
      </c>
      <c r="B31" t="s">
        <v>17</v>
      </c>
      <c r="C31" t="s">
        <v>24</v>
      </c>
      <c r="D31" t="s">
        <v>20</v>
      </c>
      <c r="E31" s="5">
        <v>105.95685279187811</v>
      </c>
      <c r="F31" s="5">
        <v>105.35497461928934</v>
      </c>
      <c r="G31" s="2">
        <f t="shared" si="0"/>
        <v>0.60187817258876919</v>
      </c>
    </row>
    <row r="32" spans="1:7" x14ac:dyDescent="0.25">
      <c r="A32" t="s">
        <v>13</v>
      </c>
      <c r="B32" t="s">
        <v>17</v>
      </c>
      <c r="C32" t="s">
        <v>24</v>
      </c>
      <c r="D32" t="s">
        <v>20</v>
      </c>
      <c r="E32" s="5">
        <v>103.24989847715732</v>
      </c>
      <c r="F32" s="5">
        <v>103.40720812182737</v>
      </c>
      <c r="G32" s="2">
        <f t="shared" si="0"/>
        <v>-0.15730964467005037</v>
      </c>
    </row>
    <row r="33" spans="1:7" x14ac:dyDescent="0.25">
      <c r="A33" t="s">
        <v>14</v>
      </c>
      <c r="B33" t="s">
        <v>17</v>
      </c>
      <c r="C33" t="s">
        <v>24</v>
      </c>
      <c r="D33" t="s">
        <v>20</v>
      </c>
      <c r="E33" s="5">
        <v>103.50248730964466</v>
      </c>
      <c r="F33" s="5">
        <v>103.21878172588832</v>
      </c>
      <c r="G33" s="2">
        <f t="shared" si="0"/>
        <v>0.28370558375634403</v>
      </c>
    </row>
    <row r="34" spans="1:7" x14ac:dyDescent="0.25">
      <c r="A34" t="s">
        <v>15</v>
      </c>
      <c r="B34" t="s">
        <v>17</v>
      </c>
      <c r="C34" t="s">
        <v>24</v>
      </c>
      <c r="D34" t="s">
        <v>20</v>
      </c>
      <c r="E34" s="5">
        <v>102.32766497461925</v>
      </c>
      <c r="F34" s="5">
        <v>106.00548223350263</v>
      </c>
      <c r="G34" s="2">
        <f t="shared" si="0"/>
        <v>-3.6778172588833797</v>
      </c>
    </row>
    <row r="35" spans="1:7" x14ac:dyDescent="0.25">
      <c r="A35" t="s">
        <v>16</v>
      </c>
      <c r="B35" t="s">
        <v>18</v>
      </c>
      <c r="C35" t="s">
        <v>24</v>
      </c>
      <c r="D35" t="s">
        <v>20</v>
      </c>
      <c r="E35" s="5">
        <v>101.78467005076136</v>
      </c>
      <c r="F35" s="5">
        <v>102.93</v>
      </c>
      <c r="G35" s="2">
        <f t="shared" si="0"/>
        <v>-1.1453299492386435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430C-BF2D-40DB-A24E-C398AF328C2D}">
  <dimension ref="A1:G35"/>
  <sheetViews>
    <sheetView workbookViewId="0">
      <selection activeCell="B1" sqref="B1"/>
    </sheetView>
  </sheetViews>
  <sheetFormatPr defaultRowHeight="15" x14ac:dyDescent="0.25"/>
  <sheetData>
    <row r="1" spans="1:7" x14ac:dyDescent="0.25">
      <c r="A1" t="s">
        <v>25</v>
      </c>
      <c r="B1" t="s">
        <v>32</v>
      </c>
      <c r="C1" t="s">
        <v>26</v>
      </c>
      <c r="D1" t="s">
        <v>27</v>
      </c>
      <c r="E1" t="s">
        <v>28</v>
      </c>
      <c r="F1" t="s">
        <v>29</v>
      </c>
      <c r="G1" t="s">
        <v>31</v>
      </c>
    </row>
    <row r="2" spans="1:7" x14ac:dyDescent="0.25">
      <c r="A2" s="1" t="s">
        <v>0</v>
      </c>
      <c r="B2" t="s">
        <v>17</v>
      </c>
      <c r="C2" t="s">
        <v>23</v>
      </c>
      <c r="D2" t="s">
        <v>19</v>
      </c>
      <c r="E2">
        <v>0</v>
      </c>
      <c r="F2">
        <v>38</v>
      </c>
      <c r="G2">
        <f>AVERAGE(E2:F2)</f>
        <v>19</v>
      </c>
    </row>
    <row r="3" spans="1:7" x14ac:dyDescent="0.25">
      <c r="A3" s="1" t="s">
        <v>1</v>
      </c>
      <c r="B3" t="s">
        <v>17</v>
      </c>
      <c r="C3" t="s">
        <v>23</v>
      </c>
      <c r="D3" t="s">
        <v>19</v>
      </c>
      <c r="E3">
        <v>2</v>
      </c>
      <c r="F3">
        <v>14</v>
      </c>
      <c r="G3">
        <f t="shared" ref="G3:G35" si="0">AVERAGE(E3:F3)</f>
        <v>8</v>
      </c>
    </row>
    <row r="4" spans="1:7" x14ac:dyDescent="0.25">
      <c r="A4" s="1" t="s">
        <v>12</v>
      </c>
      <c r="B4" t="s">
        <v>17</v>
      </c>
      <c r="C4" t="s">
        <v>23</v>
      </c>
      <c r="D4" t="s">
        <v>19</v>
      </c>
      <c r="E4">
        <v>41</v>
      </c>
      <c r="F4">
        <v>7</v>
      </c>
      <c r="G4">
        <f t="shared" si="0"/>
        <v>24</v>
      </c>
    </row>
    <row r="5" spans="1:7" x14ac:dyDescent="0.25">
      <c r="A5" s="1" t="s">
        <v>13</v>
      </c>
      <c r="B5" t="s">
        <v>17</v>
      </c>
      <c r="C5" t="s">
        <v>23</v>
      </c>
      <c r="D5" t="s">
        <v>19</v>
      </c>
      <c r="E5">
        <v>2</v>
      </c>
      <c r="F5">
        <v>11</v>
      </c>
      <c r="G5">
        <f t="shared" si="0"/>
        <v>6.5</v>
      </c>
    </row>
    <row r="6" spans="1:7" x14ac:dyDescent="0.25">
      <c r="A6" s="1" t="s">
        <v>14</v>
      </c>
      <c r="B6" t="s">
        <v>17</v>
      </c>
      <c r="C6" t="s">
        <v>23</v>
      </c>
      <c r="D6" t="s">
        <v>19</v>
      </c>
      <c r="E6">
        <v>1</v>
      </c>
      <c r="F6">
        <v>62</v>
      </c>
      <c r="G6">
        <f t="shared" si="0"/>
        <v>31.5</v>
      </c>
    </row>
    <row r="7" spans="1:7" x14ac:dyDescent="0.25">
      <c r="A7" s="1" t="s">
        <v>15</v>
      </c>
      <c r="B7" t="s">
        <v>17</v>
      </c>
      <c r="C7" t="s">
        <v>23</v>
      </c>
      <c r="D7" t="s">
        <v>19</v>
      </c>
      <c r="E7">
        <v>5</v>
      </c>
      <c r="F7">
        <v>5</v>
      </c>
      <c r="G7">
        <f t="shared" si="0"/>
        <v>5</v>
      </c>
    </row>
    <row r="8" spans="1:7" x14ac:dyDescent="0.25">
      <c r="A8" s="1" t="s">
        <v>2</v>
      </c>
      <c r="B8" t="s">
        <v>18</v>
      </c>
      <c r="C8" t="s">
        <v>23</v>
      </c>
      <c r="D8" t="s">
        <v>19</v>
      </c>
      <c r="E8">
        <v>507</v>
      </c>
      <c r="F8">
        <v>357</v>
      </c>
      <c r="G8">
        <f t="shared" si="0"/>
        <v>432</v>
      </c>
    </row>
    <row r="9" spans="1:7" x14ac:dyDescent="0.25">
      <c r="A9" s="1" t="s">
        <v>3</v>
      </c>
      <c r="B9" t="s">
        <v>18</v>
      </c>
      <c r="C9" t="s">
        <v>23</v>
      </c>
      <c r="D9" t="s">
        <v>19</v>
      </c>
      <c r="E9">
        <v>37</v>
      </c>
      <c r="F9">
        <v>281</v>
      </c>
      <c r="G9">
        <f t="shared" si="0"/>
        <v>159</v>
      </c>
    </row>
    <row r="10" spans="1:7" x14ac:dyDescent="0.25">
      <c r="A10" s="1" t="s">
        <v>4</v>
      </c>
      <c r="B10" t="s">
        <v>18</v>
      </c>
      <c r="C10" t="s">
        <v>23</v>
      </c>
      <c r="D10" t="s">
        <v>19</v>
      </c>
      <c r="E10">
        <v>122</v>
      </c>
      <c r="F10">
        <v>334</v>
      </c>
      <c r="G10">
        <f t="shared" si="0"/>
        <v>228</v>
      </c>
    </row>
    <row r="11" spans="1:7" x14ac:dyDescent="0.25">
      <c r="A11" s="1" t="s">
        <v>5</v>
      </c>
      <c r="B11" t="s">
        <v>18</v>
      </c>
      <c r="C11" t="s">
        <v>23</v>
      </c>
      <c r="D11" t="s">
        <v>19</v>
      </c>
      <c r="E11">
        <v>250</v>
      </c>
      <c r="F11">
        <v>116</v>
      </c>
      <c r="G11">
        <f t="shared" si="0"/>
        <v>183</v>
      </c>
    </row>
    <row r="12" spans="1:7" x14ac:dyDescent="0.25">
      <c r="A12" s="1" t="s">
        <v>6</v>
      </c>
      <c r="B12" t="s">
        <v>18</v>
      </c>
      <c r="C12" t="s">
        <v>23</v>
      </c>
      <c r="D12" t="s">
        <v>19</v>
      </c>
      <c r="E12">
        <v>53</v>
      </c>
      <c r="F12">
        <v>60</v>
      </c>
      <c r="G12">
        <f t="shared" si="0"/>
        <v>56.5</v>
      </c>
    </row>
    <row r="13" spans="1:7" x14ac:dyDescent="0.25">
      <c r="A13" s="1" t="s">
        <v>7</v>
      </c>
      <c r="B13" t="s">
        <v>18</v>
      </c>
      <c r="C13" t="s">
        <v>23</v>
      </c>
      <c r="D13" t="s">
        <v>19</v>
      </c>
      <c r="E13">
        <v>93</v>
      </c>
      <c r="F13">
        <v>73</v>
      </c>
      <c r="G13">
        <f t="shared" si="0"/>
        <v>83</v>
      </c>
    </row>
    <row r="14" spans="1:7" x14ac:dyDescent="0.25">
      <c r="A14" s="1" t="s">
        <v>8</v>
      </c>
      <c r="B14" t="s">
        <v>18</v>
      </c>
      <c r="C14" t="s">
        <v>23</v>
      </c>
      <c r="D14" t="s">
        <v>19</v>
      </c>
      <c r="E14">
        <v>37</v>
      </c>
      <c r="F14">
        <v>102</v>
      </c>
      <c r="G14">
        <f t="shared" si="0"/>
        <v>69.5</v>
      </c>
    </row>
    <row r="15" spans="1:7" x14ac:dyDescent="0.25">
      <c r="A15" s="1" t="s">
        <v>9</v>
      </c>
      <c r="B15" t="s">
        <v>18</v>
      </c>
      <c r="C15" t="s">
        <v>23</v>
      </c>
      <c r="D15" t="s">
        <v>19</v>
      </c>
      <c r="E15">
        <v>25</v>
      </c>
      <c r="F15">
        <v>8</v>
      </c>
      <c r="G15">
        <f t="shared" si="0"/>
        <v>16.5</v>
      </c>
    </row>
    <row r="16" spans="1:7" x14ac:dyDescent="0.25">
      <c r="A16" s="1" t="s">
        <v>10</v>
      </c>
      <c r="B16" t="s">
        <v>18</v>
      </c>
      <c r="C16" t="s">
        <v>23</v>
      </c>
      <c r="D16" t="s">
        <v>19</v>
      </c>
      <c r="E16">
        <v>27</v>
      </c>
      <c r="F16">
        <v>189</v>
      </c>
      <c r="G16">
        <f t="shared" si="0"/>
        <v>108</v>
      </c>
    </row>
    <row r="17" spans="1:7" x14ac:dyDescent="0.25">
      <c r="A17" s="1" t="s">
        <v>11</v>
      </c>
      <c r="B17" t="s">
        <v>18</v>
      </c>
      <c r="C17" t="s">
        <v>23</v>
      </c>
      <c r="D17" t="s">
        <v>19</v>
      </c>
      <c r="E17">
        <v>8</v>
      </c>
      <c r="F17">
        <v>137</v>
      </c>
      <c r="G17">
        <f t="shared" si="0"/>
        <v>72.5</v>
      </c>
    </row>
    <row r="18" spans="1:7" x14ac:dyDescent="0.25">
      <c r="A18" s="1" t="s">
        <v>16</v>
      </c>
      <c r="B18" t="s">
        <v>18</v>
      </c>
      <c r="C18" t="s">
        <v>23</v>
      </c>
      <c r="D18" t="s">
        <v>19</v>
      </c>
      <c r="E18">
        <v>241</v>
      </c>
      <c r="F18">
        <v>154</v>
      </c>
      <c r="G18">
        <f t="shared" si="0"/>
        <v>197.5</v>
      </c>
    </row>
    <row r="19" spans="1:7" x14ac:dyDescent="0.25">
      <c r="A19" s="1" t="s">
        <v>0</v>
      </c>
      <c r="B19" t="s">
        <v>17</v>
      </c>
      <c r="C19" t="s">
        <v>23</v>
      </c>
      <c r="D19" t="s">
        <v>20</v>
      </c>
      <c r="E19">
        <v>102</v>
      </c>
      <c r="F19">
        <v>36</v>
      </c>
      <c r="G19">
        <f t="shared" si="0"/>
        <v>69</v>
      </c>
    </row>
    <row r="20" spans="1:7" x14ac:dyDescent="0.25">
      <c r="A20" s="1" t="s">
        <v>1</v>
      </c>
      <c r="B20" t="s">
        <v>17</v>
      </c>
      <c r="C20" t="s">
        <v>23</v>
      </c>
      <c r="D20" t="s">
        <v>20</v>
      </c>
      <c r="E20">
        <v>4</v>
      </c>
      <c r="F20">
        <v>5</v>
      </c>
      <c r="G20">
        <f t="shared" si="0"/>
        <v>4.5</v>
      </c>
    </row>
    <row r="21" spans="1:7" x14ac:dyDescent="0.25">
      <c r="A21" s="1" t="s">
        <v>12</v>
      </c>
      <c r="B21" t="s">
        <v>17</v>
      </c>
      <c r="C21" t="s">
        <v>23</v>
      </c>
      <c r="D21" t="s">
        <v>20</v>
      </c>
      <c r="E21">
        <v>6</v>
      </c>
      <c r="F21">
        <v>35</v>
      </c>
      <c r="G21">
        <f t="shared" si="0"/>
        <v>20.5</v>
      </c>
    </row>
    <row r="22" spans="1:7" x14ac:dyDescent="0.25">
      <c r="A22" s="1" t="s">
        <v>13</v>
      </c>
      <c r="B22" t="s">
        <v>17</v>
      </c>
      <c r="C22" t="s">
        <v>23</v>
      </c>
      <c r="D22" t="s">
        <v>20</v>
      </c>
      <c r="E22">
        <v>69</v>
      </c>
      <c r="F22">
        <v>41</v>
      </c>
      <c r="G22">
        <f t="shared" si="0"/>
        <v>55</v>
      </c>
    </row>
    <row r="23" spans="1:7" x14ac:dyDescent="0.25">
      <c r="A23" s="1" t="s">
        <v>14</v>
      </c>
      <c r="B23" t="s">
        <v>17</v>
      </c>
      <c r="C23" t="s">
        <v>23</v>
      </c>
      <c r="D23" t="s">
        <v>20</v>
      </c>
      <c r="E23">
        <v>10</v>
      </c>
      <c r="F23">
        <v>21</v>
      </c>
      <c r="G23">
        <f t="shared" si="0"/>
        <v>15.5</v>
      </c>
    </row>
    <row r="24" spans="1:7" x14ac:dyDescent="0.25">
      <c r="A24" s="1" t="s">
        <v>15</v>
      </c>
      <c r="B24" t="s">
        <v>17</v>
      </c>
      <c r="C24" t="s">
        <v>23</v>
      </c>
      <c r="D24" t="s">
        <v>20</v>
      </c>
      <c r="E24">
        <v>3</v>
      </c>
      <c r="F24">
        <v>43</v>
      </c>
      <c r="G24">
        <f t="shared" si="0"/>
        <v>23</v>
      </c>
    </row>
    <row r="25" spans="1:7" x14ac:dyDescent="0.25">
      <c r="A25" s="1" t="s">
        <v>2</v>
      </c>
      <c r="B25" t="s">
        <v>18</v>
      </c>
      <c r="C25" t="s">
        <v>23</v>
      </c>
      <c r="D25" t="s">
        <v>20</v>
      </c>
      <c r="E25">
        <v>138</v>
      </c>
      <c r="F25">
        <v>392</v>
      </c>
      <c r="G25">
        <f t="shared" si="0"/>
        <v>265</v>
      </c>
    </row>
    <row r="26" spans="1:7" x14ac:dyDescent="0.25">
      <c r="A26" s="1" t="s">
        <v>3</v>
      </c>
      <c r="B26" t="s">
        <v>18</v>
      </c>
      <c r="C26" t="s">
        <v>23</v>
      </c>
      <c r="D26" t="s">
        <v>20</v>
      </c>
      <c r="E26">
        <v>78</v>
      </c>
      <c r="F26">
        <v>68</v>
      </c>
      <c r="G26">
        <f t="shared" si="0"/>
        <v>73</v>
      </c>
    </row>
    <row r="27" spans="1:7" x14ac:dyDescent="0.25">
      <c r="A27" s="1" t="s">
        <v>4</v>
      </c>
      <c r="B27" t="s">
        <v>18</v>
      </c>
      <c r="C27" t="s">
        <v>23</v>
      </c>
      <c r="D27" t="s">
        <v>20</v>
      </c>
      <c r="E27">
        <v>36</v>
      </c>
      <c r="F27">
        <v>332</v>
      </c>
      <c r="G27">
        <f t="shared" si="0"/>
        <v>184</v>
      </c>
    </row>
    <row r="28" spans="1:7" x14ac:dyDescent="0.25">
      <c r="A28" s="1" t="s">
        <v>5</v>
      </c>
      <c r="B28" t="s">
        <v>18</v>
      </c>
      <c r="C28" t="s">
        <v>23</v>
      </c>
      <c r="D28" t="s">
        <v>20</v>
      </c>
      <c r="E28">
        <v>169</v>
      </c>
      <c r="F28">
        <v>130</v>
      </c>
      <c r="G28">
        <f t="shared" si="0"/>
        <v>149.5</v>
      </c>
    </row>
    <row r="29" spans="1:7" x14ac:dyDescent="0.25">
      <c r="A29" s="1" t="s">
        <v>6</v>
      </c>
      <c r="B29" t="s">
        <v>18</v>
      </c>
      <c r="C29" t="s">
        <v>23</v>
      </c>
      <c r="D29" t="s">
        <v>20</v>
      </c>
      <c r="E29">
        <v>1</v>
      </c>
      <c r="F29">
        <v>28</v>
      </c>
      <c r="G29">
        <f t="shared" si="0"/>
        <v>14.5</v>
      </c>
    </row>
    <row r="30" spans="1:7" x14ac:dyDescent="0.25">
      <c r="A30" s="1" t="s">
        <v>7</v>
      </c>
      <c r="B30" t="s">
        <v>18</v>
      </c>
      <c r="C30" t="s">
        <v>23</v>
      </c>
      <c r="D30" t="s">
        <v>20</v>
      </c>
      <c r="E30">
        <v>168</v>
      </c>
      <c r="F30">
        <v>18</v>
      </c>
      <c r="G30">
        <f t="shared" si="0"/>
        <v>93</v>
      </c>
    </row>
    <row r="31" spans="1:7" x14ac:dyDescent="0.25">
      <c r="A31" s="1" t="s">
        <v>8</v>
      </c>
      <c r="B31" t="s">
        <v>18</v>
      </c>
      <c r="C31" t="s">
        <v>23</v>
      </c>
      <c r="D31" t="s">
        <v>20</v>
      </c>
      <c r="E31">
        <v>13</v>
      </c>
      <c r="F31">
        <v>20</v>
      </c>
      <c r="G31">
        <f t="shared" si="0"/>
        <v>16.5</v>
      </c>
    </row>
    <row r="32" spans="1:7" x14ac:dyDescent="0.25">
      <c r="A32" s="1" t="s">
        <v>9</v>
      </c>
      <c r="B32" t="s">
        <v>18</v>
      </c>
      <c r="C32" t="s">
        <v>23</v>
      </c>
      <c r="D32" t="s">
        <v>20</v>
      </c>
      <c r="E32">
        <v>71</v>
      </c>
      <c r="F32">
        <v>18</v>
      </c>
      <c r="G32">
        <f t="shared" si="0"/>
        <v>44.5</v>
      </c>
    </row>
    <row r="33" spans="1:7" x14ac:dyDescent="0.25">
      <c r="A33" s="1" t="s">
        <v>10</v>
      </c>
      <c r="B33" t="s">
        <v>18</v>
      </c>
      <c r="C33" t="s">
        <v>23</v>
      </c>
      <c r="D33" t="s">
        <v>20</v>
      </c>
      <c r="E33">
        <v>17</v>
      </c>
      <c r="F33">
        <v>2</v>
      </c>
      <c r="G33">
        <f t="shared" si="0"/>
        <v>9.5</v>
      </c>
    </row>
    <row r="34" spans="1:7" x14ac:dyDescent="0.25">
      <c r="A34" s="1" t="s">
        <v>11</v>
      </c>
      <c r="B34" t="s">
        <v>18</v>
      </c>
      <c r="C34" t="s">
        <v>23</v>
      </c>
      <c r="D34" t="s">
        <v>20</v>
      </c>
      <c r="E34">
        <v>29</v>
      </c>
      <c r="F34">
        <v>17</v>
      </c>
      <c r="G34">
        <f t="shared" si="0"/>
        <v>23</v>
      </c>
    </row>
    <row r="35" spans="1:7" x14ac:dyDescent="0.25">
      <c r="A35" s="1" t="s">
        <v>16</v>
      </c>
      <c r="B35" t="s">
        <v>18</v>
      </c>
      <c r="C35" t="s">
        <v>23</v>
      </c>
      <c r="D35" t="s">
        <v>20</v>
      </c>
      <c r="E35">
        <v>24</v>
      </c>
      <c r="F35">
        <v>23</v>
      </c>
      <c r="G35">
        <f t="shared" si="0"/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elmrpe</vt:lpstr>
      <vt:lpstr>onl</vt:lpstr>
      <vt:lpstr>irl</vt:lpstr>
      <vt:lpstr>hrf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Sheila</dc:creator>
  <cp:lastModifiedBy>Baker, Sheila A</cp:lastModifiedBy>
  <dcterms:created xsi:type="dcterms:W3CDTF">2025-06-18T01:50:46Z</dcterms:created>
  <dcterms:modified xsi:type="dcterms:W3CDTF">2026-01-15T00:42:55Z</dcterms:modified>
</cp:coreProperties>
</file>